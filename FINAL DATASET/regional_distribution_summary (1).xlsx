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<sst xmlns="http://schemas.openxmlformats.org/spreadsheetml/2006/main" count="44" uniqueCount="43">
  <si>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Final Regional Distribution — Tech Startups (Deduplicated)</t>
  </si>
  <si>
    <t xml:space="preserve">Source: final_master_dataset.csv — Crunchbase main + India supplement + Africa supplement (2022-2025), deduplicated, tech-filtered</t>
  </si>
  <si>
    <t xml:space="preserve">Middle East folded into Europe; Oceania folded into East Asia</t>
  </si>
  <si>
    <t xml:space="preserve">Region</t>
  </si>
  <si>
    <t xml:space="preserve">Final Company Count</t>
  </si>
  <si>
    <t xml:space="preserve">% of Total</t>
  </si>
  <si>
    <t xml:space="preserve">Sample Adequacy</t>
  </si>
  <si>
    <t xml:space="preserve">Notes</t>
  </si>
  <si>
    <t xml:space="preserve">North America</t>
  </si>
  <si>
    <t xml:space="preserve">Sufficient</t>
  </si>
  <si>
    <t xml:space="preserve">Europe</t>
  </si>
  <si>
    <t xml:space="preserve">Includes Israel, Turkey, UAE, Saudi Arabia (Middle East fold-in)</t>
  </si>
  <si>
    <t xml:space="preserve">South Asia</t>
  </si>
  <si>
    <t xml:space="preserve">Strong</t>
  </si>
  <si>
    <t xml:space="preserve">4,680 net-new rows from India supplement (2015-2021) after dedup</t>
  </si>
  <si>
    <t xml:space="preserve">East Asia</t>
  </si>
  <si>
    <t xml:space="preserve">Workable</t>
  </si>
  <si>
    <t xml:space="preserve">Includes Australia, New Zealand (Oceania fold-in)</t>
  </si>
  <si>
    <t xml:space="preserve">Africa</t>
  </si>
  <si>
    <t xml:space="preserve">Workable — strong improvement</t>
  </si>
  <si>
    <t xml:space="preserve">1,439 net-new rows from 2022-2025 Africa supplement after dedup (replaces single-year 2022 file)</t>
  </si>
  <si>
    <t xml:space="preserve">Latin America</t>
  </si>
  <si>
    <t xml:space="preserve">Borderline</t>
  </si>
  <si>
    <t xml:space="preserve">Consider k-fold CV given moderate size</t>
  </si>
  <si>
    <t xml:space="preserve">Southeast Asia</t>
  </si>
  <si>
    <t xml:space="preserve">Thin</t>
  </si>
  <si>
    <t xml:space="preserve">High variance expected — use k-fold CV, report wide intervals</t>
  </si>
  <si>
    <t xml:space="preserve">Unmapped/Missing</t>
  </si>
  <si>
    <t xml:space="preserve">Excluded from regional modeling</t>
  </si>
  <si>
    <t xml:space="preserve">No usable country signal even after homepage ccTLD recovery</t>
  </si>
  <si>
    <t xml:space="preserve">TOTAL</t>
  </si>
  <si>
    <t xml:space="preserve">TOTAL (excl. Unmapped — usable for regional modeling)</t>
  </si>
  <si>
    <t xml:space="preserve">Notes:</t>
  </si>
  <si>
    <t xml:space="preserve">1. Africa figure (1,607) uses the 2022-2025 merged Africa supplement, which is a verified superset of the original single-year</t>
  </si>
  <si>
    <t xml:space="preserve">   2022 file (100% of the old file's 632 companies were found inside this new file's 2022 subset) — the old file has been retired.</t>
  </si>
  <si>
    <t xml:space="preserve">   4 companies (ElMenus, Instabug, Sendy, Peach Payments) overlapping with the main Crunchbase dataset were excluded from this count.</t>
  </si>
  <si>
    <t xml:space="preserve">2. South Asia (5,589) deducts 486 India-supplement rows that matched an existing main-dataset company by normalized name.</t>
  </si>
  <si>
    <t xml:space="preserve">3. Middle East (Israel, Turkey, UAE, Saudi Arabia — 941 rows) and Oceania (Australia, New Zealand — 394 rows) were not part of</t>
  </si>
  <si>
    <t xml:space="preserve">   the original 7-region thesis scope. Folded into Europe and East Asia respectively; document this choice in your methodology.</t>
  </si>
  <si>
    <t xml:space="preserve">4. 346 rows had country_code recovered from homepage URL country-code domains (e.g. .de, .co.uk, .com.br), using only</t>
  </si>
  <si>
    <t xml:space="preserve">   unambiguous country-specific TLDs (generic branding domains like .co, .io, .me were excluded to avoid false positives).</t>
  </si>
  <si>
    <t xml:space="preserve">5. 3,406 rows remain unmapped (no country_code, no city/region/state, no recoverable ccTLD) and are excluded from regional modeling.</t>
  </si>
  <si>
    <t xml:space="preserve">6. The 2022-2025 Africa supplement has a gap year: no 2024 data exists in any of its four source files.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</si>
</sst>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6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5" t="n">
        <v>27070</v>
      </c>
      <c r="C6" s="6" t="n">
        <f aca="false">B6/B14</f>
        <v>0.537647222387734</v>
      </c>
      <c r="D6" s="4" t="s">
        <v>9</v>
      </c>
      <c r="E6" s="4"/>
    </row>
    <row r="7" customFormat="false" ht="15" hidden="false" customHeight="false" outlineLevel="0" collapsed="false">
      <c r="A7" s="4" t="s">
        <v>10</v>
      </c>
      <c r="B7" s="5" t="n">
        <v>9075</v>
      </c>
      <c r="C7" s="6" t="n">
        <f aca="false">B7/B14</f>
        <v>0.180241911458023</v>
      </c>
      <c r="D7" s="4" t="s">
        <v>9</v>
      </c>
      <c r="E7" s="4" t="s">
        <v>11</v>
      </c>
    </row>
    <row r="8" customFormat="false" ht="15" hidden="false" customHeight="false" outlineLevel="0" collapsed="false">
      <c r="A8" s="4" t="s">
        <v>12</v>
      </c>
      <c r="B8" s="5" t="n">
        <v>5589</v>
      </c>
      <c r="C8" s="6" t="n">
        <f aca="false">B8/B14</f>
        <v>0.111005183816958</v>
      </c>
      <c r="D8" s="4" t="s">
        <v>13</v>
      </c>
      <c r="E8" s="4" t="s">
        <v>14</v>
      </c>
    </row>
    <row r="9" customFormat="false" ht="15" hidden="false" customHeight="false" outlineLevel="0" collapsed="false">
      <c r="A9" s="4" t="s">
        <v>15</v>
      </c>
      <c r="B9" s="5" t="n">
        <v>2137</v>
      </c>
      <c r="C9" s="6" t="n">
        <f aca="false">B9/B14</f>
        <v>0.0424437426761207</v>
      </c>
      <c r="D9" s="4" t="s">
        <v>16</v>
      </c>
      <c r="E9" s="4" t="s">
        <v>17</v>
      </c>
    </row>
    <row r="10" customFormat="false" ht="15" hidden="false" customHeight="false" outlineLevel="0" collapsed="false">
      <c r="A10" s="4" t="s">
        <v>18</v>
      </c>
      <c r="B10" s="5" t="n">
        <v>1607</v>
      </c>
      <c r="C10" s="6" t="n">
        <f aca="false">B10/B14</f>
        <v>0.0319172178196191</v>
      </c>
      <c r="D10" s="4" t="s">
        <v>19</v>
      </c>
      <c r="E10" s="4" t="s">
        <v>20</v>
      </c>
    </row>
    <row r="11" customFormat="false" ht="15" hidden="false" customHeight="false" outlineLevel="0" collapsed="false">
      <c r="A11" s="4" t="s">
        <v>21</v>
      </c>
      <c r="B11" s="5" t="n">
        <v>896</v>
      </c>
      <c r="C11" s="6" t="n">
        <f aca="false">B11/B14</f>
        <v>0.0177957854177839</v>
      </c>
      <c r="D11" s="4" t="s">
        <v>22</v>
      </c>
      <c r="E11" s="4" t="s">
        <v>23</v>
      </c>
    </row>
    <row r="12" customFormat="false" ht="15" hidden="false" customHeight="false" outlineLevel="0" collapsed="false">
      <c r="A12" s="4" t="s">
        <v>24</v>
      </c>
      <c r="B12" s="5" t="n">
        <v>569</v>
      </c>
      <c r="C12" s="6" t="n">
        <f aca="false">B12/B14</f>
        <v>0.0113011181949989</v>
      </c>
      <c r="D12" s="4" t="s">
        <v>25</v>
      </c>
      <c r="E12" s="4" t="s">
        <v>26</v>
      </c>
    </row>
    <row r="13" customFormat="false" ht="15" hidden="false" customHeight="false" outlineLevel="0" collapsed="false">
      <c r="A13" s="7" t="s">
        <v>27</v>
      </c>
      <c r="B13" s="8" t="n">
        <v>3406</v>
      </c>
      <c r="C13" s="9" t="n">
        <f aca="false">B13/B14</f>
        <v>0.0676478182287632</v>
      </c>
      <c r="D13" s="7" t="s">
        <v>28</v>
      </c>
      <c r="E13" s="7" t="s">
        <v>29</v>
      </c>
    </row>
    <row r="14" customFormat="false" ht="15" hidden="false" customHeight="false" outlineLevel="0" collapsed="false">
      <c r="A14" s="10" t="s">
        <v>30</v>
      </c>
      <c r="B14" s="11" t="n">
        <f aca="false">SUM(B6:B13)</f>
        <v>50349</v>
      </c>
    </row>
    <row r="15" customFormat="false" ht="15" hidden="false" customHeight="false" outlineLevel="0" collapsed="false">
      <c r="A15" s="10" t="s">
        <v>31</v>
      </c>
      <c r="B15" s="11" t="n">
        <f aca="false">B14-B13</f>
        <v>46943</v>
      </c>
    </row>
    <row r="17" customFormat="false" ht="15" hidden="false" customHeight="false" outlineLevel="0" collapsed="false">
      <c r="A17" s="12" t="s">
        <v>32</v>
      </c>
      <c r="B17" s="12"/>
      <c r="C17" s="12"/>
      <c r="D17" s="12"/>
      <c r="E17" s="12"/>
    </row>
    <row r="18" customFormat="false" ht="15" hidden="false" customHeight="false" outlineLevel="0" collapsed="false">
      <c r="A18" s="13" t="s">
        <v>33</v>
      </c>
      <c r="B18" s="13"/>
      <c r="C18" s="13"/>
      <c r="D18" s="13"/>
      <c r="E18" s="13"/>
    </row>
    <row r="19" customFormat="false" ht="15" hidden="false" customHeight="false" outlineLevel="0" collapsed="false">
      <c r="A19" s="13" t="s">
        <v>34</v>
      </c>
      <c r="B19" s="13"/>
      <c r="C19" s="13"/>
      <c r="D19" s="13"/>
      <c r="E19" s="13"/>
    </row>
    <row r="20" customFormat="false" ht="15" hidden="false" customHeight="false" outlineLevel="0" collapsed="false">
      <c r="A20" s="13" t="s">
        <v>35</v>
      </c>
      <c r="B20" s="13"/>
      <c r="C20" s="13"/>
      <c r="D20" s="13"/>
      <c r="E20" s="13"/>
    </row>
    <row r="21" customFormat="false" ht="15" hidden="false" customHeight="false" outlineLevel="0" collapsed="false">
      <c r="A21" s="13" t="s">
        <v>36</v>
      </c>
      <c r="B21" s="13"/>
      <c r="C21" s="13"/>
      <c r="D21" s="13"/>
      <c r="E21" s="13"/>
    </row>
    <row r="22" customFormat="false" ht="15" hidden="false" customHeight="false" outlineLevel="0" collapsed="false">
      <c r="A22" s="13" t="s">
        <v>37</v>
      </c>
      <c r="B22" s="13"/>
      <c r="C22" s="13"/>
      <c r="D22" s="13"/>
      <c r="E22" s="13"/>
    </row>
    <row r="23" customFormat="false" ht="15" hidden="false" customHeight="false" outlineLevel="0" collapsed="false">
      <c r="A23" s="13" t="s">
        <v>38</v>
      </c>
      <c r="B23" s="13"/>
      <c r="C23" s="13"/>
      <c r="D23" s="13"/>
      <c r="E23" s="13"/>
    </row>
    <row r="24" customFormat="false" ht="15" hidden="false" customHeight="false" outlineLevel="0" collapsed="false">
      <c r="A24" s="13" t="s">
        <v>39</v>
      </c>
      <c r="B24" s="13"/>
      <c r="C24" s="13"/>
      <c r="D24" s="13"/>
      <c r="E24" s="13"/>
    </row>
    <row r="25" customFormat="false" ht="15" hidden="false" customHeight="false" outlineLevel="0" collapsed="false">
      <c r="A25" s="13" t="s">
        <v>40</v>
      </c>
      <c r="B25" s="13"/>
      <c r="C25" s="13"/>
      <c r="D25" s="13"/>
      <c r="E25" s="13"/>
    </row>
    <row r="26" customFormat="false" ht="15" hidden="false" customHeight="false" outlineLevel="0" collapsed="false">
      <c r="A26" s="13" t="s">
        <v>41</v>
      </c>
      <c r="B26" s="13"/>
      <c r="C26" s="13"/>
      <c r="D26" s="13"/>
      <c r="E26" s="13"/>
    </row>
    <row r="27" customFormat="false" ht="15" hidden="false" customHeight="false" outlineLevel="0" collapsed="false">
      <c r="A27" s="13" t="s">
        <v>42</v>
      </c>
      <c r="B27" s="13"/>
      <c r="C27" s="13"/>
      <c r="D27" s="13"/>
      <c r="E27" s="13"/>
    </row>
  </sheetData>
  <mergeCells count="14">
    <mergeCell ref="A1:E1"/>
    <mergeCell ref="A2:E2"/>
    <mergeCell ref="A3:E3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2026-06-25T03:34:41Z</dcterms:created>
  <dc:creator>openpyxl</dc:creator>
  <dc:description/>
  <dc:language>en-US</dc:language>
  <cp:lastModifiedBy/>
  <dcterms:modified xsi:type="dcterms:W3CDTF">2026-06-25T03:34:41Z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